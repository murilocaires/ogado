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c550efbc19e2cb/Área de Trabalho/OPecuário/2026/"/>
    </mc:Choice>
  </mc:AlternateContent>
  <xr:revisionPtr revIDLastSave="106" documentId="8_{2B326BBF-C6E1-40C6-AF6D-FB295EE67E05}" xr6:coauthVersionLast="47" xr6:coauthVersionMax="47" xr10:uidLastSave="{7C6AEC6F-ADEB-46F4-9FAA-C963D28C02BA}"/>
  <bookViews>
    <workbookView xWindow="-96" yWindow="-96" windowWidth="19392" windowHeight="10392" xr2:uid="{F95FB851-41C0-48AE-BBC4-47284ABEF6A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0" i="1" l="1"/>
  <c r="J21" i="1" s="1"/>
  <c r="J23" i="1" s="1"/>
  <c r="F24" i="1"/>
  <c r="F25" i="1" s="1"/>
  <c r="B26" i="1"/>
  <c r="B21" i="1"/>
  <c r="M20" i="1" s="1"/>
  <c r="B34" i="1" s="1"/>
  <c r="B29" i="1" l="1"/>
  <c r="E33" i="1" s="1"/>
  <c r="F26" i="1"/>
  <c r="F27" i="1" s="1"/>
  <c r="B33" i="1" s="1"/>
  <c r="B27" i="1"/>
  <c r="B23" i="1"/>
  <c r="B24" i="1" s="1"/>
  <c r="J24" i="1"/>
  <c r="B35" i="1" s="1"/>
  <c r="B38" i="1" l="1"/>
  <c r="E35" i="1" s="1"/>
  <c r="E38" i="1" l="1"/>
  <c r="F35" i="1"/>
  <c r="F3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Murillo Caires</author>
  </authors>
  <commentList>
    <comment ref="N23" authorId="0" shapeId="0" xr:uid="{B4C9B479-6ECE-443D-96F7-9BE37565784B}">
      <text>
        <r>
          <rPr>
            <b/>
            <sz val="9"/>
            <color indexed="81"/>
            <rFont val="Segoe UI"/>
            <family val="2"/>
          </rPr>
          <t>Murillo Caires:</t>
        </r>
        <r>
          <rPr>
            <sz val="9"/>
            <color indexed="81"/>
            <rFont val="Segoe UI"/>
            <family val="2"/>
          </rPr>
          <t xml:space="preserve">
2 salários + impostos</t>
        </r>
      </text>
    </comment>
  </commentList>
</comments>
</file>

<file path=xl/sharedStrings.xml><?xml version="1.0" encoding="utf-8"?>
<sst xmlns="http://schemas.openxmlformats.org/spreadsheetml/2006/main" count="110" uniqueCount="88">
  <si>
    <t>ANO SAFRA</t>
  </si>
  <si>
    <t>JANEIRO</t>
  </si>
  <si>
    <t>SETEMBRO</t>
  </si>
  <si>
    <t>OUTUBRO</t>
  </si>
  <si>
    <t>NOVEMBRO</t>
  </si>
  <si>
    <t>DEZEMBRO</t>
  </si>
  <si>
    <t>FEVEREIRO</t>
  </si>
  <si>
    <t>MARÇO</t>
  </si>
  <si>
    <t>ABRIL</t>
  </si>
  <si>
    <t>JUNHO</t>
  </si>
  <si>
    <t>SECA</t>
  </si>
  <si>
    <t>TRANSIÇÃO</t>
  </si>
  <si>
    <t>120 DIAS DE SECA</t>
  </si>
  <si>
    <t>240 DIAS DE CAPIM VERDE</t>
  </si>
  <si>
    <t>COMPRA</t>
  </si>
  <si>
    <t>RECRIA</t>
  </si>
  <si>
    <t>CHUVA</t>
  </si>
  <si>
    <t>JUL</t>
  </si>
  <si>
    <t>SET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</si>
  <si>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</si>
  <si>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</si>
  <si>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</si>
  <si>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</si>
  <si>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</si>
  <si>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</si>
  <si>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</si>
  <si>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</si>
  <si>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</si>
  <si>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TIP / ABATE / CONF.</t>
  </si>
  <si>
    <t xml:space="preserve">                    Área Pastável:</t>
  </si>
  <si>
    <t>hectáres</t>
  </si>
  <si>
    <t>Reais</t>
  </si>
  <si>
    <t xml:space="preserve">                    Total de cab.:</t>
  </si>
  <si>
    <t xml:space="preserve">                      Peso inicial:</t>
  </si>
  <si>
    <t>Kg</t>
  </si>
  <si>
    <t>Cabeças</t>
  </si>
  <si>
    <t xml:space="preserve">                   Lotação Total:</t>
  </si>
  <si>
    <t>UA</t>
  </si>
  <si>
    <t xml:space="preserve">                  Lotação/ha:</t>
  </si>
  <si>
    <t>UA/ha</t>
  </si>
  <si>
    <t xml:space="preserve">                  Peso Final:</t>
  </si>
  <si>
    <t xml:space="preserve">                Peso Médio:</t>
  </si>
  <si>
    <t xml:space="preserve">                   Lotação Final:</t>
  </si>
  <si>
    <t>Peso inicial:</t>
  </si>
  <si>
    <t>Peso Final:</t>
  </si>
  <si>
    <t>Peso médio:</t>
  </si>
  <si>
    <t>R$/Kg</t>
  </si>
  <si>
    <t>g/dia</t>
  </si>
  <si>
    <t>Proteinado</t>
  </si>
  <si>
    <t>R$/cab/dia</t>
  </si>
  <si>
    <t>R$/dia</t>
  </si>
  <si>
    <t xml:space="preserve">                 Dias de Recria:</t>
  </si>
  <si>
    <t>dias</t>
  </si>
  <si>
    <t>Custo total:</t>
  </si>
  <si>
    <t>Se</t>
  </si>
  <si>
    <t>da carcaça</t>
  </si>
  <si>
    <t>@</t>
  </si>
  <si>
    <t xml:space="preserve">   @ /cab</t>
  </si>
  <si>
    <t>R$/cab</t>
  </si>
  <si>
    <t>Imposto</t>
  </si>
  <si>
    <t>Total</t>
  </si>
  <si>
    <t>Funcionário</t>
  </si>
  <si>
    <t>R$/cab/mês</t>
  </si>
  <si>
    <r>
      <t xml:space="preserve">                                     </t>
    </r>
    <r>
      <rPr>
        <b/>
        <sz val="11"/>
        <color theme="1"/>
        <rFont val="Aptos Narrow"/>
        <family val="2"/>
        <scheme val="minor"/>
      </rPr>
      <t xml:space="preserve">         Cálculo da Sanidade</t>
    </r>
  </si>
  <si>
    <t xml:space="preserve">    Investimento (compra):</t>
  </si>
  <si>
    <t xml:space="preserve">           R$/cab (compra):</t>
  </si>
  <si>
    <t xml:space="preserve">              R$/cab (venda):</t>
  </si>
  <si>
    <t>Custo Operacional:</t>
  </si>
  <si>
    <t>Suplemento</t>
  </si>
  <si>
    <t>Sanidade</t>
  </si>
  <si>
    <t>TOTAL=&gt;</t>
  </si>
  <si>
    <t>Faturamento Bruto</t>
  </si>
  <si>
    <t>Faturamento Líquido</t>
  </si>
  <si>
    <t>Total em caixa</t>
  </si>
  <si>
    <t>Produzidas</t>
  </si>
  <si>
    <t>Índices</t>
  </si>
  <si>
    <t>R$/mês</t>
  </si>
  <si>
    <t>R$/ha</t>
  </si>
  <si>
    <t>MAIO</t>
  </si>
  <si>
    <t>AGOSTO</t>
  </si>
  <si>
    <t>JULHO</t>
  </si>
  <si>
    <r>
      <t>SECA/</t>
    </r>
    <r>
      <rPr>
        <sz val="11"/>
        <color theme="0"/>
        <rFont val="Aptos Narrow"/>
        <family val="2"/>
        <scheme val="minor"/>
      </rPr>
      <t>TRANSIÇÃO</t>
    </r>
  </si>
  <si>
    <t>AGO</t>
  </si>
  <si>
    <t>ANO 1 - 11/07/2026</t>
  </si>
  <si>
    <t>GMD</t>
  </si>
  <si>
    <t>Transporte (frete)</t>
  </si>
  <si>
    <r>
      <t xml:space="preserve">                                                   </t>
    </r>
    <r>
      <rPr>
        <b/>
        <sz val="11"/>
        <color theme="1"/>
        <rFont val="Aptos Narrow"/>
        <family val="2"/>
        <scheme val="minor"/>
      </rPr>
      <t xml:space="preserve">      Cálculo do Suplemento</t>
    </r>
  </si>
  <si>
    <t xml:space="preserve">        Cálculo do 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</si>
</sst>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_-[$R$-416]\ * #,##0.00_-;\-[$R$-416]\ * #,##0.00_-;_-[$R$-416]\ * &quot;-&quot;??_-;_-@_-"/>
    <numFmt numFmtId="167" formatCode="&quot;R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4" fontId="0" fillId="0" borderId="1" xfId="0" applyNumberFormat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0" fontId="0" fillId="0" borderId="6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1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166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/>
    </xf>
    <xf numFmtId="167" fontId="0" fillId="7" borderId="15" xfId="0" applyNumberFormat="1" applyFill="1" applyBorder="1" applyAlignment="1">
      <alignment horizontal="center"/>
    </xf>
    <xf numFmtId="167" fontId="0" fillId="9" borderId="16" xfId="0" applyNumberForma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1" fontId="0" fillId="0" borderId="7" xfId="0" applyNumberFormat="1" applyBorder="1" applyAlignment="1">
      <alignment horizontal="center"/>
    </xf>
    <xf numFmtId="165" fontId="0" fillId="0" borderId="7" xfId="0" applyNumberFormat="1" applyBorder="1" applyAlignment="1">
      <alignment horizontal="center"/>
    </xf>
    <xf numFmtId="4" fontId="0" fillId="0" borderId="7" xfId="0" applyNumberFormat="1" applyBorder="1" applyAlignment="1">
      <alignment horizontal="center"/>
    </xf>
    <xf numFmtId="167" fontId="0" fillId="2" borderId="10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4" xfId="0" applyBorder="1" applyAlignment="1">
      <alignment horizontal="center"/>
    </xf>
    <xf numFmtId="167" fontId="0" fillId="10" borderId="2" xfId="0" applyNumberFormat="1" applyFill="1" applyBorder="1" applyAlignment="1">
      <alignment horizontal="center"/>
    </xf>
    <xf numFmtId="2" fontId="0" fillId="2" borderId="9" xfId="0" applyNumberForma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167" fontId="0" fillId="4" borderId="9" xfId="0" applyNumberFormat="1" applyFill="1" applyBorder="1" applyAlignment="1">
      <alignment horizontal="center"/>
    </xf>
    <xf numFmtId="167" fontId="0" fillId="4" borderId="8" xfId="0" applyNumberFormat="1" applyFill="1" applyBorder="1" applyAlignment="1">
      <alignment horizontal="center"/>
    </xf>
    <xf numFmtId="167" fontId="0" fillId="10" borderId="18" xfId="0" applyNumberFormat="1" applyFill="1" applyBorder="1" applyAlignment="1">
      <alignment horizontal="center"/>
    </xf>
    <xf numFmtId="0" fontId="1" fillId="0" borderId="19" xfId="0" applyFont="1" applyBorder="1" applyAlignment="1">
      <alignment horizontal="center"/>
    </xf>
    <xf numFmtId="167" fontId="1" fillId="8" borderId="1" xfId="0" applyNumberFormat="1" applyFont="1" applyFill="1" applyBorder="1" applyAlignment="1">
      <alignment horizontal="center"/>
    </xf>
    <xf numFmtId="167" fontId="0" fillId="11" borderId="0" xfId="0" applyNumberFormat="1" applyFill="1" applyAlignment="1">
      <alignment horizontal="center"/>
    </xf>
    <xf numFmtId="167" fontId="1" fillId="11" borderId="15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36C2D-458C-42B7-B353-889F119580C0}">
  <dimension ref="A1:O39"/>
  <sheetViews>
    <sheetView tabSelected="1" topLeftCell="A13" zoomScale="74" zoomScaleNormal="90" workbookViewId="0">
      <selection activeCell="K30" sqref="K30"/>
    </sheetView>
  </sheetViews>
  <sheetFormatPr defaultRowHeight="14.4" x14ac:dyDescent="0.55000000000000004"/>
  <cols>
    <col min="1" max="1" width="19.15625" style="1" bestFit="1" customWidth="1"/>
    <col min="2" max="2" width="14.9453125" style="1" bestFit="1" customWidth="1"/>
    <col min="3" max="3" width="15.3125" style="1" bestFit="1" customWidth="1"/>
    <col min="4" max="4" width="10.26171875" style="1" bestFit="1" customWidth="1"/>
    <col min="5" max="5" width="16.7890625" style="1" customWidth="1"/>
    <col min="6" max="6" width="11.83984375" style="1" bestFit="1" customWidth="1"/>
    <col min="7" max="7" width="10.15625" style="1" bestFit="1" customWidth="1"/>
    <col min="8" max="8" width="2.9453125" style="1" customWidth="1"/>
    <col min="9" max="9" width="9.68359375" style="1" bestFit="1" customWidth="1"/>
    <col min="10" max="10" width="11.1015625" style="1" customWidth="1"/>
    <col min="11" max="11" width="17.26171875" style="1" customWidth="1"/>
    <col min="12" max="12" width="3.05078125" style="1" customWidth="1"/>
    <col min="13" max="13" width="9.83984375" style="1" bestFit="1" customWidth="1"/>
    <col min="14" max="14" width="10.83984375" style="1" bestFit="1" customWidth="1"/>
  </cols>
  <sheetData>
    <row r="1" spans="1:14" x14ac:dyDescent="0.55000000000000004">
      <c r="F1" s="1" t="s">
        <v>0</v>
      </c>
    </row>
    <row r="2" spans="1:14" x14ac:dyDescent="0.55000000000000004">
      <c r="A2" s="1" t="s">
        <v>9</v>
      </c>
      <c r="B2" s="1" t="s">
        <v>80</v>
      </c>
      <c r="C2" s="1" t="s">
        <v>79</v>
      </c>
      <c r="D2" s="1" t="s">
        <v>2</v>
      </c>
      <c r="E2" s="1" t="s">
        <v>3</v>
      </c>
      <c r="F2" s="1" t="s">
        <v>4</v>
      </c>
      <c r="G2" s="1" t="s">
        <v>5</v>
      </c>
      <c r="I2" s="1" t="s">
        <v>1</v>
      </c>
      <c r="J2" s="1" t="s">
        <v>6</v>
      </c>
      <c r="K2" s="1" t="s">
        <v>7</v>
      </c>
      <c r="M2" s="1" t="s">
        <v>8</v>
      </c>
      <c r="N2" s="1" t="s">
        <v>78</v>
      </c>
    </row>
    <row r="3" spans="1:14" x14ac:dyDescent="0.55000000000000004">
      <c r="A3" s="2" t="s">
        <v>10</v>
      </c>
      <c r="B3" s="2" t="s">
        <v>10</v>
      </c>
      <c r="C3" s="2" t="s">
        <v>81</v>
      </c>
      <c r="D3" s="4" t="s">
        <v>11</v>
      </c>
      <c r="E3" s="3" t="s">
        <v>16</v>
      </c>
      <c r="F3" s="3" t="s">
        <v>16</v>
      </c>
      <c r="G3" s="3" t="s">
        <v>16</v>
      </c>
      <c r="H3" s="3"/>
      <c r="I3" s="3" t="s">
        <v>16</v>
      </c>
      <c r="J3" s="3" t="s">
        <v>16</v>
      </c>
      <c r="K3" s="3" t="s">
        <v>16</v>
      </c>
      <c r="L3" s="3"/>
      <c r="M3" s="3" t="s">
        <v>16</v>
      </c>
      <c r="N3" s="3"/>
    </row>
    <row r="4" spans="1:14" x14ac:dyDescent="0.55000000000000004">
      <c r="F4" s="1" t="s">
        <v>15</v>
      </c>
    </row>
    <row r="5" spans="1:14" x14ac:dyDescent="0.55000000000000004">
      <c r="A5" s="2"/>
      <c r="B5" s="2" t="s">
        <v>12</v>
      </c>
      <c r="C5" s="2"/>
      <c r="D5" s="3"/>
      <c r="E5" s="3"/>
      <c r="F5" s="3" t="s">
        <v>13</v>
      </c>
      <c r="G5" s="3"/>
      <c r="H5" s="3"/>
      <c r="I5" s="3"/>
      <c r="J5" s="3"/>
      <c r="K5" s="3"/>
      <c r="L5" s="3"/>
      <c r="M5" s="3"/>
      <c r="N5" s="3"/>
    </row>
    <row r="7" spans="1:14" x14ac:dyDescent="0.55000000000000004">
      <c r="B7" s="5" t="s">
        <v>14</v>
      </c>
      <c r="C7" s="5"/>
    </row>
    <row r="10" spans="1:14" x14ac:dyDescent="0.55000000000000004">
      <c r="A10" s="1" t="s">
        <v>17</v>
      </c>
      <c r="B10" s="1" t="s">
        <v>82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22</v>
      </c>
      <c r="I10" s="1" t="s">
        <v>23</v>
      </c>
      <c r="J10" s="1" t="s">
        <v>24</v>
      </c>
      <c r="K10" s="1" t="s">
        <v>25</v>
      </c>
      <c r="M10" s="1" t="s">
        <v>26</v>
      </c>
      <c r="N10" s="1" t="s">
        <v>27</v>
      </c>
    </row>
    <row r="11" spans="1:14" x14ac:dyDescent="0.55000000000000004">
      <c r="A11" s="5" t="s">
        <v>14</v>
      </c>
      <c r="B11" s="5"/>
      <c r="C11" s="3"/>
      <c r="D11" s="3"/>
      <c r="E11" s="3"/>
      <c r="F11" s="3" t="s">
        <v>15</v>
      </c>
      <c r="G11" s="3"/>
      <c r="H11" s="3"/>
      <c r="I11" s="3"/>
      <c r="J11" s="3"/>
      <c r="K11" s="6" t="s">
        <v>28</v>
      </c>
      <c r="L11" s="6"/>
      <c r="M11" s="6"/>
      <c r="N11" s="6"/>
    </row>
    <row r="15" spans="1:14" x14ac:dyDescent="0.55000000000000004">
      <c r="B15" s="7" t="s">
        <v>83</v>
      </c>
    </row>
    <row r="16" spans="1:14" ht="14.7" thickBot="1" x14ac:dyDescent="0.6"/>
    <row r="17" spans="1:15" ht="14.7" thickBot="1" x14ac:dyDescent="0.6">
      <c r="A17" s="13" t="s">
        <v>29</v>
      </c>
      <c r="B17" s="14">
        <v>102</v>
      </c>
      <c r="C17" s="15" t="s">
        <v>30</v>
      </c>
      <c r="E17" s="27" t="s">
        <v>86</v>
      </c>
      <c r="F17" s="25"/>
      <c r="G17" s="15"/>
      <c r="I17" s="13"/>
      <c r="J17" s="30" t="s">
        <v>87</v>
      </c>
      <c r="K17" s="15"/>
      <c r="M17" s="13" t="s">
        <v>63</v>
      </c>
      <c r="N17" s="30"/>
      <c r="O17" s="32"/>
    </row>
    <row r="18" spans="1:15" x14ac:dyDescent="0.55000000000000004">
      <c r="A18" s="16" t="s">
        <v>51</v>
      </c>
      <c r="B18" s="8">
        <v>270</v>
      </c>
      <c r="C18" s="17" t="s">
        <v>52</v>
      </c>
      <c r="E18" s="26"/>
      <c r="F18" s="8"/>
      <c r="G18" s="17"/>
      <c r="I18" s="16"/>
      <c r="J18" s="8"/>
      <c r="K18" s="17"/>
      <c r="M18" s="16"/>
      <c r="N18" s="8"/>
      <c r="O18" s="33"/>
    </row>
    <row r="19" spans="1:15" x14ac:dyDescent="0.55000000000000004">
      <c r="A19" s="16" t="s">
        <v>64</v>
      </c>
      <c r="B19" s="9">
        <v>122534.8</v>
      </c>
      <c r="C19" s="17" t="s">
        <v>31</v>
      </c>
      <c r="E19" s="16" t="s">
        <v>43</v>
      </c>
      <c r="F19" s="8">
        <v>188</v>
      </c>
      <c r="G19" s="17"/>
      <c r="I19" s="16" t="s">
        <v>54</v>
      </c>
      <c r="J19" s="29">
        <v>0.52</v>
      </c>
      <c r="K19" s="17" t="s">
        <v>55</v>
      </c>
      <c r="M19" s="16">
        <v>2.5</v>
      </c>
      <c r="N19" s="31" t="s">
        <v>62</v>
      </c>
      <c r="O19" s="33"/>
    </row>
    <row r="20" spans="1:15" ht="14.7" thickBot="1" x14ac:dyDescent="0.6">
      <c r="A20" s="16" t="s">
        <v>65</v>
      </c>
      <c r="B20" s="56">
        <v>2050</v>
      </c>
      <c r="C20" s="17" t="s">
        <v>31</v>
      </c>
      <c r="E20" s="16" t="s">
        <v>44</v>
      </c>
      <c r="F20" s="8">
        <v>420</v>
      </c>
      <c r="G20" s="17"/>
      <c r="I20" s="16"/>
      <c r="J20" s="12">
        <f>SUM(B25*J19)/15</f>
        <v>14.56</v>
      </c>
      <c r="K20" s="17" t="s">
        <v>57</v>
      </c>
      <c r="M20" s="50">
        <f>SUM(B18/30)*B21*M19</f>
        <v>1344.8941463414633</v>
      </c>
      <c r="N20" s="19" t="s">
        <v>31</v>
      </c>
      <c r="O20" s="34"/>
    </row>
    <row r="21" spans="1:15" ht="14.7" thickBot="1" x14ac:dyDescent="0.6">
      <c r="A21" s="16" t="s">
        <v>32</v>
      </c>
      <c r="B21" s="10">
        <f>SUM(B19/B20)</f>
        <v>59.773073170731706</v>
      </c>
      <c r="C21" s="17" t="s">
        <v>35</v>
      </c>
      <c r="E21" s="16" t="s">
        <v>45</v>
      </c>
      <c r="F21" s="8">
        <v>304</v>
      </c>
      <c r="G21" s="17"/>
      <c r="I21" s="16"/>
      <c r="J21" s="12">
        <f>SUM(J20*B28)</f>
        <v>4732</v>
      </c>
      <c r="K21" s="17" t="s">
        <v>58</v>
      </c>
    </row>
    <row r="22" spans="1:15" x14ac:dyDescent="0.55000000000000004">
      <c r="A22" s="16" t="s">
        <v>33</v>
      </c>
      <c r="B22" s="8">
        <v>188</v>
      </c>
      <c r="C22" s="17" t="s">
        <v>34</v>
      </c>
      <c r="E22" s="48" t="s">
        <v>48</v>
      </c>
      <c r="F22" s="8"/>
      <c r="G22" s="17"/>
      <c r="I22" s="16" t="s">
        <v>59</v>
      </c>
      <c r="J22" s="21">
        <v>1.4999999999999999E-2</v>
      </c>
      <c r="K22" s="17"/>
      <c r="M22" s="13"/>
      <c r="N22" s="30" t="s">
        <v>61</v>
      </c>
      <c r="O22" s="32"/>
    </row>
    <row r="23" spans="1:15" ht="14.7" thickBot="1" x14ac:dyDescent="0.6">
      <c r="A23" s="16" t="s">
        <v>36</v>
      </c>
      <c r="B23" s="11">
        <f>SUM(B21*B22)/450</f>
        <v>24.971861680216801</v>
      </c>
      <c r="C23" s="17" t="s">
        <v>37</v>
      </c>
      <c r="E23" s="24">
        <v>3.0000000000000001E-3</v>
      </c>
      <c r="F23" s="8">
        <v>2</v>
      </c>
      <c r="G23" s="17" t="s">
        <v>46</v>
      </c>
      <c r="I23" s="16" t="s">
        <v>59</v>
      </c>
      <c r="J23" s="12">
        <f>SUM(J21*J22)</f>
        <v>70.98</v>
      </c>
      <c r="K23" s="17" t="s">
        <v>58</v>
      </c>
      <c r="M23" s="18"/>
      <c r="N23" s="49">
        <v>9000</v>
      </c>
      <c r="O23" s="34" t="s">
        <v>31</v>
      </c>
    </row>
    <row r="24" spans="1:15" ht="14.7" thickBot="1" x14ac:dyDescent="0.6">
      <c r="A24" s="16" t="s">
        <v>38</v>
      </c>
      <c r="B24" s="11">
        <f>SUM(B23/80)</f>
        <v>0.31214827100271003</v>
      </c>
      <c r="C24" s="17" t="s">
        <v>39</v>
      </c>
      <c r="E24" s="16" t="s">
        <v>84</v>
      </c>
      <c r="F24" s="22">
        <f>+SUM(F21*E23)</f>
        <v>0.91200000000000003</v>
      </c>
      <c r="G24" s="17" t="s">
        <v>47</v>
      </c>
      <c r="I24" s="18" t="s">
        <v>60</v>
      </c>
      <c r="J24" s="49">
        <f>SUM(J23*B21)</f>
        <v>4242.6927336585368</v>
      </c>
      <c r="K24" s="20" t="s">
        <v>31</v>
      </c>
    </row>
    <row r="25" spans="1:15" x14ac:dyDescent="0.55000000000000004">
      <c r="A25" s="16" t="s">
        <v>40</v>
      </c>
      <c r="B25" s="8">
        <v>420</v>
      </c>
      <c r="C25" s="17" t="s">
        <v>34</v>
      </c>
      <c r="E25" s="16" t="s">
        <v>49</v>
      </c>
      <c r="F25" s="12">
        <f>SUM(F24*F23)</f>
        <v>1.8240000000000001</v>
      </c>
      <c r="G25" s="17"/>
    </row>
    <row r="26" spans="1:15" x14ac:dyDescent="0.55000000000000004">
      <c r="A26" s="16" t="s">
        <v>41</v>
      </c>
      <c r="B26" s="12">
        <f>SUM(B22+B25)/2</f>
        <v>304</v>
      </c>
      <c r="C26" s="17" t="s">
        <v>34</v>
      </c>
      <c r="E26" s="16" t="s">
        <v>50</v>
      </c>
      <c r="F26" s="23">
        <f>SUM(F25*B21)</f>
        <v>109.02608546341463</v>
      </c>
      <c r="G26" s="17"/>
      <c r="J26" s="28"/>
    </row>
    <row r="27" spans="1:15" ht="14.7" thickBot="1" x14ac:dyDescent="0.6">
      <c r="A27" s="16" t="s">
        <v>42</v>
      </c>
      <c r="B27" s="11">
        <f>SUM(B21*B26)/450/B17</f>
        <v>0.39588266326584837</v>
      </c>
      <c r="C27" s="17" t="s">
        <v>39</v>
      </c>
      <c r="E27" s="18" t="s">
        <v>53</v>
      </c>
      <c r="F27" s="49">
        <f>SUM(F26*B18)</f>
        <v>29437.04307512195</v>
      </c>
      <c r="G27" s="20" t="s">
        <v>31</v>
      </c>
    </row>
    <row r="28" spans="1:15" x14ac:dyDescent="0.55000000000000004">
      <c r="A28" s="16" t="s">
        <v>66</v>
      </c>
      <c r="B28" s="8">
        <v>325</v>
      </c>
      <c r="C28" s="17" t="s">
        <v>31</v>
      </c>
    </row>
    <row r="29" spans="1:15" ht="14.7" thickBot="1" x14ac:dyDescent="0.6">
      <c r="A29" s="18" t="s">
        <v>74</v>
      </c>
      <c r="B29" s="47">
        <f>SUM(B25/30)*B21</f>
        <v>836.82302439024386</v>
      </c>
      <c r="C29" s="20" t="s">
        <v>56</v>
      </c>
    </row>
    <row r="31" spans="1:15" ht="14.7" thickBot="1" x14ac:dyDescent="0.6"/>
    <row r="32" spans="1:15" ht="14.7" thickBot="1" x14ac:dyDescent="0.6">
      <c r="A32" s="39" t="s">
        <v>67</v>
      </c>
      <c r="B32" s="15"/>
      <c r="E32" s="36" t="s">
        <v>71</v>
      </c>
      <c r="F32" s="36" t="s">
        <v>75</v>
      </c>
      <c r="G32" s="27"/>
    </row>
    <row r="33" spans="1:7" ht="14.7" thickBot="1" x14ac:dyDescent="0.6">
      <c r="A33" s="16" t="s">
        <v>68</v>
      </c>
      <c r="B33" s="40">
        <f>SUM(F27)</f>
        <v>29437.04307512195</v>
      </c>
      <c r="E33" s="37">
        <f>SUM(B29*B28)</f>
        <v>271967.48292682925</v>
      </c>
      <c r="F33" s="46">
        <f>SUM(E35/(B18/30))</f>
        <v>11378.672552411921</v>
      </c>
      <c r="G33" s="27" t="s">
        <v>76</v>
      </c>
    </row>
    <row r="34" spans="1:7" ht="14.7" thickBot="1" x14ac:dyDescent="0.6">
      <c r="A34" s="16" t="s">
        <v>69</v>
      </c>
      <c r="B34" s="40">
        <f>SUM(M20)</f>
        <v>1344.8941463414633</v>
      </c>
      <c r="E34" s="52" t="s">
        <v>72</v>
      </c>
      <c r="F34" s="45"/>
      <c r="G34" s="44"/>
    </row>
    <row r="35" spans="1:7" ht="14.7" thickBot="1" x14ac:dyDescent="0.6">
      <c r="A35" s="16" t="s">
        <v>59</v>
      </c>
      <c r="B35" s="41">
        <f>SUM(J24)</f>
        <v>4242.6927336585368</v>
      </c>
      <c r="E35" s="53">
        <f>SUM(E33-B38)-B19</f>
        <v>102408.05297170729</v>
      </c>
      <c r="F35" s="51">
        <f>SUM(E35/B17)</f>
        <v>1004.0005193304637</v>
      </c>
      <c r="G35" s="27" t="s">
        <v>77</v>
      </c>
    </row>
    <row r="36" spans="1:7" ht="14.7" thickBot="1" x14ac:dyDescent="0.6">
      <c r="A36" s="16" t="s">
        <v>85</v>
      </c>
      <c r="B36" s="41">
        <v>3000</v>
      </c>
      <c r="E36" s="55"/>
      <c r="F36" s="54"/>
    </row>
    <row r="37" spans="1:7" ht="14.7" thickBot="1" x14ac:dyDescent="0.6">
      <c r="A37" s="16" t="s">
        <v>61</v>
      </c>
      <c r="B37" s="42">
        <v>9000</v>
      </c>
      <c r="E37" s="36" t="s">
        <v>73</v>
      </c>
    </row>
    <row r="38" spans="1:7" ht="14.7" thickBot="1" x14ac:dyDescent="0.6">
      <c r="A38" s="18" t="s">
        <v>70</v>
      </c>
      <c r="B38" s="43">
        <f>SUM(B33:B37)</f>
        <v>47024.629955121949</v>
      </c>
      <c r="E38" s="38">
        <f>SUM(B19+E35)</f>
        <v>224942.8529717073</v>
      </c>
    </row>
    <row r="39" spans="1:7" x14ac:dyDescent="0.55000000000000004">
      <c r="C39" s="35"/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murillo caires ribeiro</dc:creator>
  <cp:lastModifiedBy>murillo caires ribeiro</cp:lastModifiedBy>
  <dcterms:created xsi:type="dcterms:W3CDTF">2026-03-30T21:54:04Z</dcterms:created>
  <dcterms:modified xsi:type="dcterms:W3CDTF">2026-07-26T01:08:17Z</dcterms:modified>
</cp:coreProperties>
</file>