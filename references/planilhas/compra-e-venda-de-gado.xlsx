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c550efbc19e2cb/Área de Trabalho/OPecuário/2026/"/>
    </mc:Choice>
  </mc:AlternateContent>
  <xr:revisionPtr revIDLastSave="188" documentId="8_{0FB1CBEF-0B0E-427D-8206-FB768D8AFF69}" xr6:coauthVersionLast="47" xr6:coauthVersionMax="47" xr10:uidLastSave="{7EAF8A17-A3BA-4CF7-AAF0-2AF8BD8ECBEA}"/>
  <bookViews>
    <workbookView xWindow="-96" yWindow="-96" windowWidth="19392" windowHeight="10392" xr2:uid="{F1C9536B-51EF-48E5-9686-BC15DE00A55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1" l="1"/>
  <c r="F5" i="1"/>
  <c r="H5" i="1" s="1"/>
  <c r="I5" i="1" s="1"/>
  <c r="F4" i="1"/>
  <c r="H4" i="1" s="1"/>
  <c r="F14" i="1"/>
  <c r="H14" i="1" s="1"/>
  <c r="F13" i="1"/>
  <c r="H13" i="1" s="1"/>
  <c r="F12" i="1"/>
  <c r="H12" i="1" s="1"/>
  <c r="F11" i="1"/>
  <c r="H11" i="1" s="1"/>
  <c r="F6" i="1"/>
  <c r="H6" i="1" s="1"/>
  <c r="F7" i="1"/>
  <c r="H7" i="1" s="1"/>
  <c r="H8" i="1" l="1"/>
  <c r="H19" i="1" s="1"/>
  <c r="H15" i="1"/>
</calcChain>
</file>

<file path=xl/sharedStrings.xml><?xml version="1.0" encoding="utf-8"?>
<sst xmlns="http://schemas.openxmlformats.org/spreadsheetml/2006/main" count="29" uniqueCount="17">
  <si>
    <t>COMPRA E VENDA DE GADO</t>
  </si>
  <si>
    <t>LOTE</t>
  </si>
  <si>
    <t>CATEGORIA</t>
  </si>
  <si>
    <t>QUANTIDADE</t>
  </si>
  <si>
    <t>PESO (KG)</t>
  </si>
  <si>
    <t>PESO(@)</t>
  </si>
  <si>
    <t>PREÇO/@</t>
  </si>
  <si>
    <t>TOTAL</t>
  </si>
  <si>
    <t>VALOR</t>
  </si>
  <si>
    <t>NEGÓCIO</t>
  </si>
  <si>
    <t>COMPRA</t>
  </si>
  <si>
    <t>VENDA</t>
  </si>
  <si>
    <t>DATA</t>
  </si>
  <si>
    <t>NOVILHAS</t>
  </si>
  <si>
    <t>SALDO</t>
  </si>
  <si>
    <r>
      <t>BEZERR</t>
    </r>
    <r>
      <rPr>
        <sz val="11"/>
        <color rgb="FFFF0000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S</t>
    </r>
  </si>
  <si>
    <t>R$/CAB.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</si>
</sst>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* #,##0.00_-;\-&quot;R$&quot;* #,##0.00_-;_-&quot;R$&quot;* &quot;-&quot;??_-;_-@_-"/>
    <numFmt numFmtId="164" formatCode="_-[$R$-416]\ * #,##0.0_-;\-[$R$-416]\ * #,##0.0_-;_-[$R$-416]\ * &quot;-&quot;??_-;_-@_-"/>
    <numFmt numFmtId="165" formatCode="&quot;R$&quot;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 tint="0.7999816888943144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" fontId="0" fillId="4" borderId="4" xfId="0" applyNumberForma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2" borderId="8" xfId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1" fillId="0" borderId="0" xfId="0" applyFont="1"/>
    <xf numFmtId="1" fontId="0" fillId="4" borderId="6" xfId="0" applyNumberFormat="1" applyFill="1" applyBorder="1" applyAlignment="1">
      <alignment horizontal="center"/>
    </xf>
    <xf numFmtId="164" fontId="0" fillId="5" borderId="9" xfId="2" applyNumberFormat="1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164" fontId="0" fillId="7" borderId="17" xfId="0" applyNumberFormat="1" applyFill="1" applyBorder="1" applyAlignment="1">
      <alignment horizontal="center"/>
    </xf>
    <xf numFmtId="44" fontId="0" fillId="5" borderId="18" xfId="0" applyNumberFormat="1" applyFill="1" applyBorder="1" applyAlignment="1">
      <alignment horizontal="center" wrapText="1"/>
    </xf>
    <xf numFmtId="0" fontId="0" fillId="7" borderId="7" xfId="0" applyFill="1" applyBorder="1" applyAlignment="1">
      <alignment horizontal="center"/>
    </xf>
    <xf numFmtId="164" fontId="0" fillId="7" borderId="9" xfId="2" applyNumberFormat="1" applyFont="1" applyFill="1" applyBorder="1" applyAlignment="1">
      <alignment horizontal="center"/>
    </xf>
    <xf numFmtId="0" fontId="0" fillId="8" borderId="16" xfId="0" applyFill="1" applyBorder="1"/>
    <xf numFmtId="165" fontId="0" fillId="8" borderId="20" xfId="0" applyNumberFormat="1" applyFill="1" applyBorder="1"/>
    <xf numFmtId="165" fontId="0" fillId="5" borderId="18" xfId="0" applyNumberFormat="1" applyFill="1" applyBorder="1" applyAlignment="1">
      <alignment horizontal="center"/>
    </xf>
    <xf numFmtId="165" fontId="0" fillId="5" borderId="19" xfId="0" applyNumberFormat="1" applyFill="1" applyBorder="1" applyAlignment="1">
      <alignment horizontal="center"/>
    </xf>
    <xf numFmtId="165" fontId="0" fillId="7" borderId="18" xfId="0" applyNumberFormat="1" applyFill="1" applyBorder="1" applyAlignment="1">
      <alignment horizontal="center"/>
    </xf>
    <xf numFmtId="165" fontId="0" fillId="7" borderId="19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65" fontId="0" fillId="7" borderId="18" xfId="0" applyNumberFormat="1" applyFill="1" applyBorder="1" applyAlignment="1">
      <alignment horizontal="center" wrapText="1"/>
    </xf>
    <xf numFmtId="165" fontId="0" fillId="5" borderId="18" xfId="0" applyNumberFormat="1" applyFill="1" applyBorder="1" applyAlignment="1">
      <alignment horizontal="center" wrapText="1"/>
    </xf>
    <xf numFmtId="0" fontId="4" fillId="6" borderId="13" xfId="0" applyFont="1" applyFill="1" applyBorder="1" applyAlignment="1">
      <alignment horizontal="center"/>
    </xf>
    <xf numFmtId="165" fontId="0" fillId="8" borderId="0" xfId="0" applyNumberFormat="1" applyFill="1" applyBorder="1"/>
    <xf numFmtId="0" fontId="0" fillId="2" borderId="21" xfId="0" applyFill="1" applyBorder="1" applyAlignment="1">
      <alignment horizontal="center"/>
    </xf>
    <xf numFmtId="14" fontId="0" fillId="0" borderId="22" xfId="0" applyNumberFormat="1" applyBorder="1"/>
    <xf numFmtId="14" fontId="0" fillId="0" borderId="23" xfId="0" applyNumberFormat="1" applyBorder="1"/>
    <xf numFmtId="0" fontId="0" fillId="0" borderId="23" xfId="0" applyBorder="1"/>
    <xf numFmtId="0" fontId="0" fillId="0" borderId="24" xfId="0" applyBorder="1"/>
    <xf numFmtId="165" fontId="0" fillId="7" borderId="1" xfId="0" applyNumberFormat="1" applyFill="1" applyBorder="1" applyAlignment="1">
      <alignment horizontal="center" wrapText="1"/>
    </xf>
    <xf numFmtId="165" fontId="0" fillId="7" borderId="1" xfId="0" applyNumberFormat="1" applyFill="1" applyBorder="1" applyAlignment="1">
      <alignment horizontal="center"/>
    </xf>
    <xf numFmtId="164" fontId="0" fillId="7" borderId="6" xfId="0" applyNumberForma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164" fontId="0" fillId="9" borderId="0" xfId="2" applyNumberFormat="1" applyFon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 wrapText="1"/>
    </xf>
    <xf numFmtId="165" fontId="0" fillId="5" borderId="1" xfId="0" applyNumberFormat="1" applyFill="1" applyBorder="1" applyAlignment="1">
      <alignment horizontal="center"/>
    </xf>
    <xf numFmtId="44" fontId="0" fillId="5" borderId="6" xfId="0" applyNumberFormat="1" applyFill="1" applyBorder="1" applyAlignment="1">
      <alignment horizontal="center" wrapText="1"/>
    </xf>
  </cellXfs>
  <cellStyles count="3">
    <cellStyle name="Hiperlink" xfId="1" builtinId="8"/>
    <cellStyle name="Mo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RE&#199;O/@" TargetMode="External"/><Relationship Id="rId1" Type="http://schemas.openxmlformats.org/officeDocument/2006/relationships/hyperlink" Target="mailto:PRE&#199;O/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6232-6F39-4745-808B-B3F50B14718E}">
  <dimension ref="A1:J19"/>
  <sheetViews>
    <sheetView tabSelected="1" workbookViewId="0">
      <selection activeCell="E7" sqref="E7"/>
    </sheetView>
  </sheetViews>
  <sheetFormatPr defaultRowHeight="14.4" x14ac:dyDescent="0.55000000000000004"/>
  <cols>
    <col min="1" max="1" width="4.734375" bestFit="1" customWidth="1"/>
    <col min="2" max="2" width="8.5234375" bestFit="1" customWidth="1"/>
    <col min="3" max="3" width="10" bestFit="1" customWidth="1"/>
    <col min="4" max="4" width="11.3125" bestFit="1" customWidth="1"/>
    <col min="5" max="5" width="10" customWidth="1"/>
    <col min="6" max="6" width="8.26171875" customWidth="1"/>
    <col min="8" max="8" width="13.41796875" bestFit="1" customWidth="1"/>
    <col min="9" max="9" width="13.41796875" customWidth="1"/>
    <col min="10" max="10" width="9.9453125" bestFit="1" customWidth="1"/>
  </cols>
  <sheetData>
    <row r="1" spans="1:10" x14ac:dyDescent="0.55000000000000004">
      <c r="E1" s="16" t="s">
        <v>0</v>
      </c>
      <c r="F1" s="16"/>
      <c r="G1" s="16"/>
    </row>
    <row r="2" spans="1:10" ht="14.7" thickBot="1" x14ac:dyDescent="0.6"/>
    <row r="3" spans="1:10" ht="14.7" thickBot="1" x14ac:dyDescent="0.6">
      <c r="A3" s="11" t="s">
        <v>1</v>
      </c>
      <c r="B3" s="19" t="s">
        <v>9</v>
      </c>
      <c r="C3" s="12" t="s">
        <v>2</v>
      </c>
      <c r="D3" s="12" t="s">
        <v>3</v>
      </c>
      <c r="E3" s="12" t="s">
        <v>4</v>
      </c>
      <c r="F3" s="12" t="s">
        <v>5</v>
      </c>
      <c r="G3" s="13" t="s">
        <v>6</v>
      </c>
      <c r="H3" s="24" t="s">
        <v>7</v>
      </c>
      <c r="I3" s="48" t="s">
        <v>16</v>
      </c>
      <c r="J3" s="40" t="s">
        <v>12</v>
      </c>
    </row>
    <row r="4" spans="1:10" x14ac:dyDescent="0.55000000000000004">
      <c r="A4" s="9">
        <v>1</v>
      </c>
      <c r="B4" s="22" t="s">
        <v>10</v>
      </c>
      <c r="C4" s="10" t="s">
        <v>15</v>
      </c>
      <c r="D4" s="10">
        <v>60</v>
      </c>
      <c r="E4" s="10">
        <v>11311</v>
      </c>
      <c r="F4" s="17">
        <f>SUM(E4/30)</f>
        <v>377.03333333333336</v>
      </c>
      <c r="G4" s="10">
        <v>325</v>
      </c>
      <c r="H4" s="25">
        <f>SUM(F4*G4)</f>
        <v>122535.83333333334</v>
      </c>
      <c r="I4" s="47"/>
      <c r="J4" s="41">
        <v>46214</v>
      </c>
    </row>
    <row r="5" spans="1:10" x14ac:dyDescent="0.55000000000000004">
      <c r="A5" s="5">
        <v>2</v>
      </c>
      <c r="B5" s="38" t="s">
        <v>10</v>
      </c>
      <c r="C5" s="2" t="s">
        <v>15</v>
      </c>
      <c r="D5" s="2">
        <v>10</v>
      </c>
      <c r="E5" s="2">
        <f>SUM(D5*210)</f>
        <v>2100</v>
      </c>
      <c r="F5" s="35">
        <f>SUM(E5/30)</f>
        <v>70</v>
      </c>
      <c r="G5" s="2">
        <v>290</v>
      </c>
      <c r="H5" s="36">
        <f>SUM(F5*G5)</f>
        <v>20300</v>
      </c>
      <c r="I5" s="45">
        <f>SUM(H5/D5)</f>
        <v>2030</v>
      </c>
      <c r="J5" s="42"/>
    </row>
    <row r="6" spans="1:10" x14ac:dyDescent="0.55000000000000004">
      <c r="A6" s="5">
        <v>3</v>
      </c>
      <c r="B6" s="20"/>
      <c r="C6" s="2"/>
      <c r="D6" s="2"/>
      <c r="E6" s="2"/>
      <c r="F6" s="3">
        <f>SUM(E6/30)</f>
        <v>0</v>
      </c>
      <c r="G6" s="2"/>
      <c r="H6" s="33">
        <f>SUM(F6*G6)</f>
        <v>0</v>
      </c>
      <c r="I6" s="46"/>
      <c r="J6" s="43"/>
    </row>
    <row r="7" spans="1:10" ht="14.7" thickBot="1" x14ac:dyDescent="0.6">
      <c r="A7" s="6">
        <v>4</v>
      </c>
      <c r="B7" s="21"/>
      <c r="C7" s="7"/>
      <c r="D7" s="7"/>
      <c r="E7" s="7"/>
      <c r="F7" s="8">
        <f>SUM(E7/30)</f>
        <v>0</v>
      </c>
      <c r="G7" s="14"/>
      <c r="H7" s="34">
        <f>SUM(F7*G7)</f>
        <v>0</v>
      </c>
      <c r="I7" s="46"/>
      <c r="J7" s="44"/>
    </row>
    <row r="8" spans="1:10" ht="14.7" thickBot="1" x14ac:dyDescent="0.6">
      <c r="A8" s="1"/>
      <c r="B8" s="1"/>
      <c r="C8" s="1"/>
      <c r="D8" s="1"/>
      <c r="E8" s="1"/>
      <c r="F8" s="1"/>
      <c r="G8" s="27" t="s">
        <v>8</v>
      </c>
      <c r="H8" s="28">
        <f>SUM(H4:H7)</f>
        <v>142835.83333333334</v>
      </c>
      <c r="I8" s="49"/>
    </row>
    <row r="9" spans="1:10" ht="14.7" thickBot="1" x14ac:dyDescent="0.6">
      <c r="A9" s="1"/>
      <c r="B9" s="1"/>
      <c r="C9" s="1"/>
      <c r="D9" s="1"/>
      <c r="E9" s="1"/>
      <c r="F9" s="1"/>
      <c r="G9" s="1"/>
      <c r="H9" s="1"/>
      <c r="I9" s="1"/>
    </row>
    <row r="10" spans="1:10" ht="14.7" thickBot="1" x14ac:dyDescent="0.6">
      <c r="A10" s="11" t="s">
        <v>1</v>
      </c>
      <c r="B10" s="19" t="s">
        <v>9</v>
      </c>
      <c r="C10" s="12" t="s">
        <v>2</v>
      </c>
      <c r="D10" s="12" t="s">
        <v>3</v>
      </c>
      <c r="E10" s="12" t="s">
        <v>4</v>
      </c>
      <c r="F10" s="12" t="s">
        <v>5</v>
      </c>
      <c r="G10" s="13" t="s">
        <v>6</v>
      </c>
      <c r="H10" s="24" t="s">
        <v>7</v>
      </c>
      <c r="I10" s="48"/>
      <c r="J10" s="40" t="s">
        <v>12</v>
      </c>
    </row>
    <row r="11" spans="1:10" x14ac:dyDescent="0.55000000000000004">
      <c r="A11" s="9">
        <v>1</v>
      </c>
      <c r="B11" s="23" t="s">
        <v>11</v>
      </c>
      <c r="C11" s="2" t="s">
        <v>13</v>
      </c>
      <c r="D11" s="2">
        <v>16</v>
      </c>
      <c r="E11" s="2">
        <v>2920</v>
      </c>
      <c r="F11" s="4">
        <f>SUM(E11-160)/15</f>
        <v>184</v>
      </c>
      <c r="G11" s="2">
        <v>290</v>
      </c>
      <c r="H11" s="26">
        <f>SUM(F11*G11)</f>
        <v>53360</v>
      </c>
      <c r="I11" s="52"/>
      <c r="J11" s="42">
        <v>46227</v>
      </c>
    </row>
    <row r="12" spans="1:10" x14ac:dyDescent="0.55000000000000004">
      <c r="A12" s="5">
        <v>2</v>
      </c>
      <c r="B12" s="23"/>
      <c r="C12" s="2"/>
      <c r="D12" s="2"/>
      <c r="E12" s="2"/>
      <c r="F12" s="4">
        <f>SUM(E12-D12*10)/15</f>
        <v>0</v>
      </c>
      <c r="G12" s="2"/>
      <c r="H12" s="37">
        <f>SUM(F12*G12)</f>
        <v>0</v>
      </c>
      <c r="I12" s="50"/>
      <c r="J12" s="42"/>
    </row>
    <row r="13" spans="1:10" x14ac:dyDescent="0.55000000000000004">
      <c r="A13" s="5">
        <v>3</v>
      </c>
      <c r="B13" s="20"/>
      <c r="C13" s="2"/>
      <c r="D13" s="2"/>
      <c r="E13" s="2"/>
      <c r="F13" s="3">
        <f>SUM(E13-D13*10)/15</f>
        <v>0</v>
      </c>
      <c r="G13" s="2"/>
      <c r="H13" s="31">
        <f>SUM(F13*G13)</f>
        <v>0</v>
      </c>
      <c r="I13" s="51"/>
      <c r="J13" s="43"/>
    </row>
    <row r="14" spans="1:10" ht="14.7" thickBot="1" x14ac:dyDescent="0.6">
      <c r="A14" s="6">
        <v>4</v>
      </c>
      <c r="B14" s="21"/>
      <c r="C14" s="7"/>
      <c r="D14" s="7"/>
      <c r="E14" s="7"/>
      <c r="F14" s="8">
        <f>SUM(E14-D14*10)/15</f>
        <v>0</v>
      </c>
      <c r="G14" s="14"/>
      <c r="H14" s="32">
        <f>SUM(F14*G14)</f>
        <v>0</v>
      </c>
      <c r="I14" s="51"/>
      <c r="J14" s="44"/>
    </row>
    <row r="15" spans="1:10" ht="14.7" thickBot="1" x14ac:dyDescent="0.6">
      <c r="A15" s="1"/>
      <c r="B15" s="1"/>
      <c r="C15" s="1"/>
      <c r="D15" s="1"/>
      <c r="E15" s="1"/>
      <c r="F15" s="1"/>
      <c r="G15" s="15" t="s">
        <v>8</v>
      </c>
      <c r="H15" s="18">
        <f>SUM(H11:H14)</f>
        <v>53360</v>
      </c>
      <c r="I15" s="49"/>
    </row>
    <row r="18" spans="7:9" ht="14.7" thickBot="1" x14ac:dyDescent="0.6"/>
    <row r="19" spans="7:9" ht="14.7" thickBot="1" x14ac:dyDescent="0.6">
      <c r="G19" s="29" t="s">
        <v>14</v>
      </c>
      <c r="H19" s="30">
        <f>SUM(H15-H8)</f>
        <v>-89475.833333333343</v>
      </c>
      <c r="I19" s="39"/>
    </row>
  </sheetData>
  <hyperlinks>
    <hyperlink ref="G3" r:id="rId1" xr:uid="{197ED674-D626-4D9C-9BB4-F3126C67AFD5}"/>
    <hyperlink ref="G10" r:id="rId2" xr:uid="{43204076-9C8F-40BF-80D4-A03CD23DE279}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murillo caires ribeiro</dc:creator>
  <cp:lastModifiedBy>murillo caires ribeiro</cp:lastModifiedBy>
  <dcterms:created xsi:type="dcterms:W3CDTF">2026-04-28T00:41:45Z</dcterms:created>
  <dcterms:modified xsi:type="dcterms:W3CDTF">2026-07-26T01:02:22Z</dcterms:modified>
</cp:coreProperties>
</file>